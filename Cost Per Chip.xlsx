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iereynolds/Desktop/RE_ PLOS Digital Health Manuscrip/"/>
    </mc:Choice>
  </mc:AlternateContent>
  <xr:revisionPtr revIDLastSave="0" documentId="13_ncr:1_{D94CE3FA-5278-A74C-B70F-AD80C44F1FBB}" xr6:coauthVersionLast="47" xr6:coauthVersionMax="47" xr10:uidLastSave="{00000000-0000-0000-0000-000000000000}"/>
  <bookViews>
    <workbookView xWindow="680" yWindow="760" windowWidth="28040" windowHeight="17200" xr2:uid="{D8223852-C688-314C-AA53-ACF82093CEA9}"/>
  </bookViews>
  <sheets>
    <sheet name="Cost Per Chip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  <c r="I15" i="1"/>
  <c r="J11" i="1"/>
  <c r="D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<sst xmlns="http://schemas.openxmlformats.org/spreadsheetml/2006/main" count="82" uniqueCount="59">
  <si>
    <t>Material</t>
  </si>
  <si>
    <t>Package size</t>
  </si>
  <si>
    <t>Package cost</t>
  </si>
  <si>
    <t>Working concentration</t>
  </si>
  <si>
    <t>Volume used per chip</t>
  </si>
  <si>
    <t>Amount used per chip</t>
  </si>
  <si>
    <t>Cost calculation</t>
  </si>
  <si>
    <t>Estimated cost/chip</t>
  </si>
  <si>
    <t>Whatman chromatography paper</t>
  </si>
  <si>
    <t>100 sheets</t>
  </si>
  <si>
    <t>—</t>
  </si>
  <si>
    <t>1/14 sheet</t>
  </si>
  <si>
    <t>0.0714 sheet</t>
  </si>
  <si>
    <t>($86.22 ÷ 100 sheets) ÷ 14 chips/sheet</t>
  </si>
  <si>
    <t>FluoSphere particles</t>
  </si>
  <si>
    <t>10 mL, 2% solids ≈ 200 mg particles</t>
  </si>
  <si>
    <t>10 µg/mL</t>
  </si>
  <si>
    <t>40 µL</t>
  </si>
  <si>
    <t>0.40 µg = 0.00040 mg</t>
  </si>
  <si>
    <t>($542 ÷ 200 mg) × 0.00040 mg</t>
  </si>
  <si>
    <t>BSA</t>
  </si>
  <si>
    <t>10 g</t>
  </si>
  <si>
    <t>1 µg/mL</t>
  </si>
  <si>
    <t>15 µL</t>
  </si>
  <si>
    <t>0.015 µg</t>
  </si>
  <si>
    <t>($99.80 ÷ 10,000,000 µg) × 0.015 µg</t>
  </si>
  <si>
    <t>L-Lysine</t>
  </si>
  <si>
    <t>1 g</t>
  </si>
  <si>
    <t>($67.20 ÷ 1,000,000 µg) × 0.015 µg</t>
  </si>
  <si>
    <t>Lysozyme</t>
  </si>
  <si>
    <t>5 g</t>
  </si>
  <si>
    <t>($312.50 ÷ 5,000,000 µg) × 0.015 µg</t>
  </si>
  <si>
    <t>Caffeine</t>
  </si>
  <si>
    <t>CaCl₂·2H₂O</t>
  </si>
  <si>
    <t>500 g</t>
  </si>
  <si>
    <t>50 mM</t>
  </si>
  <si>
    <t>≈0.1103 mg</t>
  </si>
  <si>
    <t>($9.25 ÷ 500,000 mg) × 0.1103 mg</t>
  </si>
  <si>
    <t>MgCl₂</t>
  </si>
  <si>
    <t>100 g</t>
  </si>
  <si>
    <t>≈0.0714 mg</t>
  </si>
  <si>
    <t>($112 ÷ 100,000 mg) × 0.0714 mg</t>
  </si>
  <si>
    <t>LL-37</t>
  </si>
  <si>
    <t>5 mg</t>
  </si>
  <si>
    <t>0.015 µg = 0.000015 mg</t>
  </si>
  <si>
    <t>($94.97 ÷ 5 mg) × 0.000015 mg</t>
  </si>
  <si>
    <t xml:space="preserve">Link to product </t>
  </si>
  <si>
    <t>Cellulose Paper</t>
  </si>
  <si>
    <t xml:space="preserve">LL-37 
Not the same vendor orignally used in assay </t>
  </si>
  <si>
    <t xml:space="preserve">Magnesium chloride </t>
  </si>
  <si>
    <t>Calcium Chloride Dihydrate</t>
  </si>
  <si>
    <t>($62.90 ÷ 100,000,000 µg) × 0.015 µg</t>
  </si>
  <si>
    <t>FlouSphere Particels</t>
  </si>
  <si>
    <t>Pep28</t>
  </si>
  <si>
    <t xml:space="preserve">Estimated cost (chip + particle + reagent) </t>
  </si>
  <si>
    <t>n/a</t>
  </si>
  <si>
    <t xml:space="preserve">5mg </t>
  </si>
  <si>
    <t>($162.5 ÷ 5 mg) × 0.000015 mg</t>
  </si>
  <si>
    <t xml:space="preserve">Chip Dataset 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</si>
</sst>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00000"/>
    <numFmt numFmtId="167" formatCode="&quot;$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wrapText="1"/>
    </xf>
    <xf numFmtId="0" fontId="4" fillId="0" borderId="0" xfId="1" applyAlignment="1">
      <alignment wrapText="1"/>
    </xf>
    <xf numFmtId="2" fontId="0" fillId="0" borderId="0" xfId="0" applyNumberFormat="1"/>
    <xf numFmtId="164" fontId="3" fillId="0" borderId="0" xfId="0" applyNumberFormat="1" applyFont="1" applyAlignment="1">
      <alignment wrapText="1"/>
    </xf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igmaaldrich.com/US/en/product/sigma/a9647" TargetMode="External"/><Relationship Id="rId3" Type="http://schemas.openxmlformats.org/officeDocument/2006/relationships/hyperlink" Target="https://www.sigmaaldrich.com/US/en/product/sigma/m4880?utm_source=google&amp;utm_medium=cpc&amp;utm_campaign=23326104372&amp;utm_content=190243079672&amp;gad_source=4&amp;gad_campaignid=23326104372&amp;gbraid=0AAAAAD8kLQTpf2TkRayOGWafjpUrDlBKH&amp;gclid=CjwKCAjwqonVBhA4EiwA9wYJ3cf6MWS_6XuaaT-Xa3FJRm6mdERxY_eSMelIS9XTRm6xywLLSxumjBoCBSMQAvD_BwE" TargetMode="External"/><Relationship Id="rId7" Type="http://schemas.openxmlformats.org/officeDocument/2006/relationships/hyperlink" Target="https://www.sigmaaldrich.com/US/en/product/sigma/l5501?srsltid=AfmBOootqf0ezb10RqhBb6LmrairZ5lO1nNutEIf6JiXwDd6-XPAad7S" TargetMode="External"/><Relationship Id="rId2" Type="http://schemas.openxmlformats.org/officeDocument/2006/relationships/hyperlink" Target="https://biolongevitylabs.com/product/ll-37-5mg/" TargetMode="External"/><Relationship Id="rId1" Type="http://schemas.openxmlformats.org/officeDocument/2006/relationships/hyperlink" Target="https://www.cytivalifesciences.com/en/us/products/items/grade-1-chr-cellulose-chromatography-papers-p-04830?srsltid=AfmBOoqsAY6DdPbe8n1uPJ_Cmz8vCwzudX8KW0w1wSiZ322JCuG_jkM7&amp;selectedProduct=28419180" TargetMode="External"/><Relationship Id="rId6" Type="http://schemas.openxmlformats.org/officeDocument/2006/relationships/hyperlink" Target="https://www.fishersci.com/shop/products/thermo-scientific-pierce-lysozyme/PI89833" TargetMode="External"/><Relationship Id="rId5" Type="http://schemas.openxmlformats.org/officeDocument/2006/relationships/hyperlink" Target="https://www.sigmaaldrich.com/US/en/product/sial/c0750?utm_source=google&amp;utm_medium=cpc&amp;utm_campaign=8890193254&amp;utm_content=87903050565&amp;gad_source=1&amp;gad_campaignid=8890193254&amp;gbraid=0AAAAAD8kLQT7Vzs-rQ4yTYDpZUEtc9Ubg&amp;gclid=CjwKCAjwqonVBhA4EiwA9wYJ3XFOQJV5R" TargetMode="External"/><Relationship Id="rId4" Type="http://schemas.openxmlformats.org/officeDocument/2006/relationships/hyperlink" Target="https://www.carolina.com/inorganic-salts-and-metals/calcium-chloride-dihydrate-granular-laboratory-grade-500g/851800.pr?utm_source=google&amp;utm_medium=cpc&amp;utm_source=google&amp;utm_medium=cpc&amp;utm_campaign=17231377884&amp;utm_content=&amp;utm_term=&amp;gad_source=4&amp;gad_campaignid=17244047165&amp;gbraid=0AAAAAD_wOque1LHonDkzmFXlEXcpCY-zR&amp;gclid=CjwKCAjwqonVBhA4EiwA9wYJ3QmNELf0w9Ewui4gEv3jg-_YXFfW7HvKXZ4GhdiJySwVyZHbQXYfsxoCEpsQAvD_BwE" TargetMode="External"/><Relationship Id="rId9" Type="http://schemas.openxmlformats.org/officeDocument/2006/relationships/hyperlink" Target="https://www.fishersci.com/shop/products/fluospheres-carboxylate-modified-microspheres-38/F8813?ef_id=CjwKCAjwqonVBhA4EiwA9wYJ3XVS-Mr4tGy5iP6ZDxgA_n62fRUE01Sh-euV24zmdyrVTGZrQa6IZBoCOfQQAvD_BwE:G:s&amp;ppc_id=PLA_goog_2086145683_86816103782_F8782__411323788689_7207271994406983299&amp;ev_chn=shop&amp;s_kwcid=AL!4428!3!411323788689!!!g!859754338304!&amp;gad_source=1&amp;gad_campaignid=2086145683&amp;gbraid=0AAAAADu8mFyxbV8tahcDkCQ26DzHM1JZg&amp;gclid=CjwKCAjwqonVBhA4EiwA9wYJ3XVS-Mr4tGy5iP6ZDxgA_n62fRUE01Sh-euV24zmdyrVTGZrQa6IZBoCOfQ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F0CD-F48F-544A-AE49-C853D6046CF0}">
  <dimension ref="A1:J15"/>
  <sheetViews>
    <sheetView tabSelected="1" topLeftCell="A7" zoomScale="106" zoomScaleNormal="239" workbookViewId="0">
      <selection activeCell="J16" sqref="J16"/>
    </sheetView>
  </sheetViews>
  <sheetFormatPr baseColWidth="10" defaultRowHeight="16" x14ac:dyDescent="0.2"/>
  <cols>
    <col min="9" max="9" width="18.6640625" bestFit="1" customWidth="1"/>
    <col min="10" max="10" width="11.6640625" bestFit="1" customWidth="1"/>
  </cols>
  <sheetData>
    <row r="1" spans="1:10" ht="68" x14ac:dyDescent="0.2">
      <c r="A1" s="1" t="s">
        <v>0</v>
      </c>
      <c r="B1" s="1" t="s">
        <v>46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54</v>
      </c>
    </row>
    <row r="2" spans="1:10" ht="68" x14ac:dyDescent="0.2">
      <c r="A2" s="2" t="s">
        <v>8</v>
      </c>
      <c r="B2" s="4" t="s">
        <v>47</v>
      </c>
      <c r="C2" s="2" t="s">
        <v>9</v>
      </c>
      <c r="D2" s="3">
        <v>86.22</v>
      </c>
      <c r="E2" s="2" t="s">
        <v>10</v>
      </c>
      <c r="F2" s="2" t="s">
        <v>11</v>
      </c>
      <c r="G2" s="2" t="s">
        <v>12</v>
      </c>
      <c r="H2" s="2" t="s">
        <v>13</v>
      </c>
      <c r="I2" s="6">
        <v>6.1589999999999999E-2</v>
      </c>
      <c r="J2" s="2" t="s">
        <v>55</v>
      </c>
    </row>
    <row r="3" spans="1:10" ht="68" x14ac:dyDescent="0.2">
      <c r="A3" s="2" t="s">
        <v>14</v>
      </c>
      <c r="B3" s="4" t="s">
        <v>52</v>
      </c>
      <c r="C3" s="2" t="s">
        <v>15</v>
      </c>
      <c r="D3" s="3">
        <v>542</v>
      </c>
      <c r="E3" s="2" t="s">
        <v>16</v>
      </c>
      <c r="F3" s="2" t="s">
        <v>17</v>
      </c>
      <c r="G3" s="2" t="s">
        <v>18</v>
      </c>
      <c r="H3" s="2" t="s">
        <v>19</v>
      </c>
      <c r="I3" s="6">
        <v>1.0839999999999999E-3</v>
      </c>
      <c r="J3" s="2" t="s">
        <v>55</v>
      </c>
    </row>
    <row r="4" spans="1:10" ht="68" x14ac:dyDescent="0.2">
      <c r="A4" s="2" t="s">
        <v>20</v>
      </c>
      <c r="B4" s="4" t="s">
        <v>20</v>
      </c>
      <c r="C4" s="2" t="s">
        <v>21</v>
      </c>
      <c r="D4" s="3">
        <v>99.8</v>
      </c>
      <c r="E4" s="2" t="s">
        <v>22</v>
      </c>
      <c r="F4" s="2" t="s">
        <v>23</v>
      </c>
      <c r="G4" s="2" t="s">
        <v>24</v>
      </c>
      <c r="H4" s="2" t="s">
        <v>25</v>
      </c>
      <c r="I4" s="6">
        <v>1.4999999999999999E-7</v>
      </c>
      <c r="J4" s="5">
        <f>I2+I3+I4</f>
        <v>6.2674149999999998E-2</v>
      </c>
    </row>
    <row r="5" spans="1:10" ht="68" x14ac:dyDescent="0.2">
      <c r="A5" s="2" t="s">
        <v>26</v>
      </c>
      <c r="B5" s="4" t="s">
        <v>26</v>
      </c>
      <c r="C5" s="2" t="s">
        <v>27</v>
      </c>
      <c r="D5" s="3">
        <v>67.2</v>
      </c>
      <c r="E5" s="2" t="s">
        <v>22</v>
      </c>
      <c r="F5" s="2" t="s">
        <v>23</v>
      </c>
      <c r="G5" s="2" t="s">
        <v>24</v>
      </c>
      <c r="H5" s="2" t="s">
        <v>28</v>
      </c>
      <c r="I5" s="6">
        <v>1.0100000000000001E-6</v>
      </c>
      <c r="J5" s="5">
        <f>I2+I3+I5</f>
        <v>6.2675009999999989E-2</v>
      </c>
    </row>
    <row r="6" spans="1:10" ht="68" x14ac:dyDescent="0.2">
      <c r="A6" s="2" t="s">
        <v>29</v>
      </c>
      <c r="B6" s="4" t="s">
        <v>29</v>
      </c>
      <c r="C6" s="2" t="s">
        <v>30</v>
      </c>
      <c r="D6" s="3">
        <v>312.5</v>
      </c>
      <c r="E6" s="2" t="s">
        <v>22</v>
      </c>
      <c r="F6" s="2" t="s">
        <v>23</v>
      </c>
      <c r="G6" s="2" t="s">
        <v>24</v>
      </c>
      <c r="H6" s="2" t="s">
        <v>31</v>
      </c>
      <c r="I6" s="6">
        <v>9.4E-7</v>
      </c>
      <c r="J6" s="5">
        <f>I2+I3+I6</f>
        <v>6.2674939999999998E-2</v>
      </c>
    </row>
    <row r="7" spans="1:10" ht="68" x14ac:dyDescent="0.2">
      <c r="A7" s="2" t="s">
        <v>32</v>
      </c>
      <c r="B7" s="4" t="s">
        <v>32</v>
      </c>
      <c r="C7" s="2" t="s">
        <v>39</v>
      </c>
      <c r="D7" s="3">
        <v>62.9</v>
      </c>
      <c r="E7" s="2" t="s">
        <v>22</v>
      </c>
      <c r="F7" s="2" t="s">
        <v>23</v>
      </c>
      <c r="G7" s="2" t="s">
        <v>24</v>
      </c>
      <c r="H7" s="2" t="s">
        <v>51</v>
      </c>
      <c r="I7" s="6">
        <v>9.4349999999999998E-9</v>
      </c>
      <c r="J7" s="5">
        <f>I2+I3+I7</f>
        <v>6.2674009434999997E-2</v>
      </c>
    </row>
    <row r="8" spans="1:10" ht="68" x14ac:dyDescent="0.2">
      <c r="A8" s="2" t="s">
        <v>33</v>
      </c>
      <c r="B8" s="4" t="s">
        <v>50</v>
      </c>
      <c r="C8" s="2" t="s">
        <v>34</v>
      </c>
      <c r="D8" s="3">
        <v>9.25</v>
      </c>
      <c r="E8" s="2" t="s">
        <v>35</v>
      </c>
      <c r="F8" s="2" t="s">
        <v>23</v>
      </c>
      <c r="G8" s="2" t="s">
        <v>36</v>
      </c>
      <c r="H8" s="2" t="s">
        <v>37</v>
      </c>
      <c r="I8" s="6">
        <v>2.04E-6</v>
      </c>
      <c r="J8" s="5">
        <f>I8+I2+I3</f>
        <v>6.2676040000000002E-2</v>
      </c>
    </row>
    <row r="9" spans="1:10" ht="68" x14ac:dyDescent="0.2">
      <c r="A9" s="2" t="s">
        <v>38</v>
      </c>
      <c r="B9" s="4" t="s">
        <v>49</v>
      </c>
      <c r="C9" s="2" t="s">
        <v>39</v>
      </c>
      <c r="D9" s="3">
        <v>112</v>
      </c>
      <c r="E9" s="2" t="s">
        <v>35</v>
      </c>
      <c r="F9" s="2" t="s">
        <v>23</v>
      </c>
      <c r="G9" s="2" t="s">
        <v>40</v>
      </c>
      <c r="H9" s="2" t="s">
        <v>41</v>
      </c>
      <c r="I9" s="6">
        <v>7.9969999999999995E-5</v>
      </c>
      <c r="J9" s="5">
        <f>I9+I2+I3</f>
        <v>6.2753969999999992E-2</v>
      </c>
    </row>
    <row r="10" spans="1:10" ht="119" x14ac:dyDescent="0.2">
      <c r="A10" s="2" t="s">
        <v>42</v>
      </c>
      <c r="B10" s="4" t="s">
        <v>48</v>
      </c>
      <c r="C10" s="2" t="s">
        <v>43</v>
      </c>
      <c r="D10" s="3">
        <v>94.97</v>
      </c>
      <c r="E10" s="2" t="s">
        <v>22</v>
      </c>
      <c r="F10" s="2" t="s">
        <v>23</v>
      </c>
      <c r="G10" s="2" t="s">
        <v>44</v>
      </c>
      <c r="H10" s="2" t="s">
        <v>45</v>
      </c>
      <c r="I10" s="6">
        <v>2.8490999999999998E-4</v>
      </c>
      <c r="J10" s="5">
        <f>I10+I2+I3</f>
        <v>6.2958909999999993E-2</v>
      </c>
    </row>
    <row r="11" spans="1:10" ht="68" x14ac:dyDescent="0.2">
      <c r="A11" s="2" t="s">
        <v>53</v>
      </c>
      <c r="C11" s="2" t="s">
        <v>56</v>
      </c>
      <c r="D11">
        <f xml:space="preserve"> 97.5+ 65</f>
        <v>162.5</v>
      </c>
      <c r="E11" s="2" t="s">
        <v>22</v>
      </c>
      <c r="F11" s="2" t="s">
        <v>23</v>
      </c>
      <c r="G11" s="2" t="s">
        <v>24</v>
      </c>
      <c r="H11" s="2" t="s">
        <v>57</v>
      </c>
      <c r="I11" s="6">
        <v>4.8749999999999998E-4</v>
      </c>
      <c r="J11" s="7">
        <f>I11+I2+I3</f>
        <v>6.3161499999999995E-2</v>
      </c>
    </row>
    <row r="14" spans="1:10" ht="51" x14ac:dyDescent="0.2">
      <c r="H14" s="2" t="s">
        <v>58</v>
      </c>
      <c r="I14" s="6">
        <v>16</v>
      </c>
      <c r="J14">
        <v>24</v>
      </c>
    </row>
    <row r="15" spans="1:10" x14ac:dyDescent="0.2">
      <c r="I15" s="7">
        <f>I14*J11</f>
        <v>1.0105839999999999</v>
      </c>
      <c r="J15" s="7">
        <f>J14*J11</f>
        <v>1.515876</v>
      </c>
    </row>
  </sheetData>
  <hyperlinks>
    <hyperlink ref="B2" r:id="rId1" display="https://www.cytivalifesciences.com/en/us/products/items/grade-1-chr-cellulose-chromatography-papers-p-04830?srsltid=AfmBOoqsAY6DdPbe8n1uPJ_Cmz8vCwzudX8KW0w1wSiZ322JCuG_jkM7&amp;selectedProduct=28419180 " xr:uid="{DA8DD50E-84F5-1547-836B-BF789A0CDA3C}"/>
    <hyperlink ref="B10" r:id="rId2" display="LL-37" xr:uid="{38EBB91B-B9E7-FF43-860A-4C825D97B7F6}"/>
    <hyperlink ref="B9" r:id="rId3" xr:uid="{3FF00CC7-4A27-1E4E-A52C-2D46421ABCC4}"/>
    <hyperlink ref="B8" r:id="rId4" xr:uid="{43D6136E-B474-4A4E-B4EC-F4910A2F3340}"/>
    <hyperlink ref="B7" r:id="rId5" xr:uid="{DCBABE24-E341-2545-A033-DEAA0301EAF4}"/>
    <hyperlink ref="B6" r:id="rId6" location="Lysozyme" xr:uid="{99F4506E-1260-E548-8338-BA4E6F97CC7C}"/>
    <hyperlink ref="B5" r:id="rId7" xr:uid="{6AD052F0-417A-A946-8C69-94069A786633}"/>
    <hyperlink ref="B4" r:id="rId8" xr:uid="{CA907BEE-AC74-9D4E-B8F8-0A33DF38541C}"/>
    <hyperlink ref="B3" r:id="rId9" xr:uid="{1634BE46-0FA3-6148-9496-185EE7DED1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Per Chip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Jocelyn - (jocelynreynolds)</dc:creator>
  <cp:lastModifiedBy>Reynolds, Jocelyn - (jocelynreynolds)</cp:lastModifiedBy>
  <dcterms:created xsi:type="dcterms:W3CDTF">2026-09-10T20:17:36Z</dcterms:created>
  <dcterms:modified xsi:type="dcterms:W3CDTF">2026-09-27T19:41:35Z</dcterms:modified>
</cp:coreProperties>
</file>